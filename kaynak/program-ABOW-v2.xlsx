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PROGRAM" sheetId="1" r:id="rId1"/>
    <sheet name="FİYATLANDIRMA" sheetId="2" r:id="rId2"/>
    <sheet name="Sayfa3" sheetId="3" r:id="rId3"/>
  </sheets>
  <calcPr calcId="144525"/>
</workbook>
</file>

<file path=xl/calcChain.xml><?xml version="1.0" encoding="utf-8"?>
<calcChain xmlns="http://schemas.openxmlformats.org/spreadsheetml/2006/main">
  <c r="E27" i="2" l="1"/>
  <c r="D27" i="2"/>
  <c r="E21" i="2"/>
  <c r="D21" i="2"/>
  <c r="E15" i="2"/>
  <c r="D15" i="2"/>
  <c r="D5" i="2"/>
  <c r="E5" i="2"/>
  <c r="C5" i="2"/>
</calcChain>
</file>

<file path=xl/sharedStrings.xml><?xml version="1.0" encoding="utf-8"?>
<sst xmlns="http://schemas.openxmlformats.org/spreadsheetml/2006/main" count="274" uniqueCount="114">
  <si>
    <t>PAZARTESİ</t>
  </si>
  <si>
    <t>GÜNLER</t>
  </si>
  <si>
    <t>SAATLER</t>
  </si>
  <si>
    <t>09.30-12.30</t>
  </si>
  <si>
    <t>SALI</t>
  </si>
  <si>
    <t>ÇARŞAMBA</t>
  </si>
  <si>
    <t>PERŞEMBE</t>
  </si>
  <si>
    <t>CUMA</t>
  </si>
  <si>
    <t>CUMARTESİ</t>
  </si>
  <si>
    <t>PAZAR</t>
  </si>
  <si>
    <t>10.00-12.00</t>
  </si>
  <si>
    <t>ATÖLYE ADI</t>
  </si>
  <si>
    <t>16-24 AY</t>
  </si>
  <si>
    <t>24-36 AY</t>
  </si>
  <si>
    <t xml:space="preserve"> OKULA HAZIRLIK GRUBU  HERGÜN 1 SAAT İNGİLİZCE</t>
  </si>
  <si>
    <t>OKULA HAZIRLIK GRUPLARI</t>
  </si>
  <si>
    <t>1 ARA ÖĞÜN</t>
  </si>
  <si>
    <t>HERGÜN 1 SAAT İNGİLİZCE</t>
  </si>
  <si>
    <t>GELİŞİM TAKİBİ</t>
  </si>
  <si>
    <t>3 GÜN 3 SAAT BÜTÜNLEŞTİRİLMİŞ ETKİNLİKLER</t>
  </si>
  <si>
    <t>HAFTASONLARI 1 SAAT SERBEST OYUN ALANI KULLANIM ZAMANI</t>
  </si>
  <si>
    <t>OYUN GRUPLARI</t>
  </si>
  <si>
    <t>2 GÜN 2 SAAT BÜTÜNLEŞTİRİLMİŞ ETKİNLİKLER</t>
  </si>
  <si>
    <t>GÜVENLİ AYRILMA PROGRAMINA GEÇİŞ</t>
  </si>
  <si>
    <t>GÜVENLİ AYRILMA PROGRAMI - EBEEVEYNSİZ</t>
  </si>
  <si>
    <t>GRUPLAR</t>
  </si>
  <si>
    <t xml:space="preserve">PZT-SALI-ÇRŞ 9.30-12.30 </t>
  </si>
  <si>
    <t xml:space="preserve">16-24 AY </t>
  </si>
  <si>
    <t xml:space="preserve">TOPLAM 3 GÜN </t>
  </si>
  <si>
    <t>ÇRŞ-PRŞ-CUMA 14:30-17.30</t>
  </si>
  <si>
    <t>14.30-17.30</t>
  </si>
  <si>
    <t>15.00-17.00</t>
  </si>
  <si>
    <t>ARA</t>
  </si>
  <si>
    <t>12.30-13.30</t>
  </si>
  <si>
    <t>TEK SEFER ETKİNLİKLER</t>
  </si>
  <si>
    <t>16.00-18.00</t>
  </si>
  <si>
    <t>30+ AY (EBEVEYNSİZ)</t>
  </si>
  <si>
    <t>6-12 AY</t>
  </si>
  <si>
    <t>6-12AY</t>
  </si>
  <si>
    <t>SALI 16.00-18.00</t>
  </si>
  <si>
    <t>3-5 YAŞ</t>
  </si>
  <si>
    <t>BEBEK OYUN GRUBU (OYUNLARLA BÜYÜYORUM)</t>
  </si>
  <si>
    <t>OYUNLARLA MATEMATİK ATÖLYESİ (İNGİLİZCE)</t>
  </si>
  <si>
    <t>14.00-16.00</t>
  </si>
  <si>
    <t>GELİŞİM ODAKLI OYUN GRUBU (TÜRKÇE)</t>
  </si>
  <si>
    <t>12-24 AY</t>
  </si>
  <si>
    <t>ŞARKILI MASAL ATÖLYESİ (İNGİLİZCE)</t>
  </si>
  <si>
    <t>OYUNLARLA MATEMATİK (İNGİLİZCE)</t>
  </si>
  <si>
    <t>HAFTANIN 3 GÜN 3 SAAT</t>
  </si>
  <si>
    <t>HAFTANIN 2 GÜN 2 SAAT</t>
  </si>
  <si>
    <t>PAZARTESİ-CUMA 15.00-17.00</t>
  </si>
  <si>
    <t>CUMA 10.00-12.00</t>
  </si>
  <si>
    <t>TEK SEFERLİK KATILIM</t>
  </si>
  <si>
    <t>PERŞEMBE 10.00-12.00</t>
  </si>
  <si>
    <t>DİLARA</t>
  </si>
  <si>
    <t>EMİNE</t>
  </si>
  <si>
    <t>EMİNE+BURCU</t>
  </si>
  <si>
    <t>ÖĞRETMEN</t>
  </si>
  <si>
    <t>DİLARA+BURCU</t>
  </si>
  <si>
    <t xml:space="preserve">GELİŞİM ODAKLI OYUN GRUBU </t>
  </si>
  <si>
    <t xml:space="preserve">İNGİLİZCE OYUN GRUBU </t>
  </si>
  <si>
    <t xml:space="preserve">PZT-ÇRŞ 10.00-12.00 </t>
  </si>
  <si>
    <t>SALI-PRŞ 15.00-17.00</t>
  </si>
  <si>
    <t>SALI-PRŞ 10.00-12.00</t>
  </si>
  <si>
    <t>PZT-ÇRŞ 16.00-18.00</t>
  </si>
  <si>
    <t>BURCU-EMİNE</t>
  </si>
  <si>
    <t>İNGİLİZCE OYUN GRUBU</t>
  </si>
  <si>
    <t>HAFTADA 2 GÜN</t>
  </si>
  <si>
    <t>1 GÜN İNGİLİZCE HEDİYE</t>
  </si>
  <si>
    <t>PAZARTESİ 14.00-16.00</t>
  </si>
  <si>
    <t>İLK BİR SAAT SERBEST OYUN</t>
  </si>
  <si>
    <t>GELİŞİM ODAKLI OYUN GRUBU</t>
  </si>
  <si>
    <t>SALI 14.00-16.00</t>
  </si>
  <si>
    <t>ÇARŞAMBA 14.00-16.00</t>
  </si>
  <si>
    <t>ŞARKILI MASAL VE SANAT ATÖLYESİ (İNGİLİZCE)</t>
  </si>
  <si>
    <t>PERŞEMBE 14.00-16.00</t>
  </si>
  <si>
    <t>3-5 YAŞ (EBEVEYNSİZ)</t>
  </si>
  <si>
    <t>MİNİK BEYİNLER LABORATUVARI</t>
  </si>
  <si>
    <t>ŞARKILI MASAL VE SANAT ATÖLYESİ (TÜRKÇE)</t>
  </si>
  <si>
    <t>CUMA 14.00-16.00</t>
  </si>
  <si>
    <t>MİNİK BEYİNLER LABORATUVARI (AKIL&amp; ZEKA OYUNLARI)</t>
  </si>
  <si>
    <t>HAFTANIN TEK GÜNÜ</t>
  </si>
  <si>
    <t>30+ AY</t>
  </si>
  <si>
    <t>12.00-14.00</t>
  </si>
  <si>
    <t>18.00-19.00</t>
  </si>
  <si>
    <t>SERBEST OYUN ZAMANI</t>
  </si>
  <si>
    <t>PAZAR 10.00-12.00</t>
  </si>
  <si>
    <t>PAZAR 12.00-14.00</t>
  </si>
  <si>
    <t>PAZAR 16.00-18.00</t>
  </si>
  <si>
    <t>PAZAR 14.00-16.00</t>
  </si>
  <si>
    <t>HAFTA SONU</t>
  </si>
  <si>
    <t>OKULA HAZIRLIK GRUBU</t>
  </si>
  <si>
    <t>3 GÜN 3 SAAT</t>
  </si>
  <si>
    <t>2 GÜN 2 SAAT</t>
  </si>
  <si>
    <t>BEBEK GRUBU</t>
  </si>
  <si>
    <t>TEK SEFER</t>
  </si>
  <si>
    <t>AYDA 12 KATILIM</t>
  </si>
  <si>
    <t>AYDA 4 KATILIM</t>
  </si>
  <si>
    <t>AYDA 8 KATILIM</t>
  </si>
  <si>
    <t>ERKEN KAYIT  %20 İNDİRİM FIRSATI</t>
  </si>
  <si>
    <t xml:space="preserve">KAMPANYA SÜRECİ </t>
  </si>
  <si>
    <t>10.08.2026-01.09.2026</t>
  </si>
  <si>
    <t xml:space="preserve">KAMPANYADAN PEŞİN ÖDEME KOŞULU İLE (KREDİ KARTI&amp;HAVALE&amp;NAKİT) </t>
  </si>
  <si>
    <t>EN FAZLA 3 AY FAYDALANABİLİNİR.</t>
  </si>
  <si>
    <t>20% İNDİRİMLİ</t>
  </si>
  <si>
    <t>OKULA HAZIRLIK GRUPLARINDA TEK SEFERLİK KATILIM YOKTUR</t>
  </si>
  <si>
    <t>1 KATILIM 3 SAATTİRVE 1 SAATİ İNGİLİZCE OYUN GRUBU OLACAK ŞEKİLDE PROGRAMLANMIŞTIR</t>
  </si>
  <si>
    <t>HER PROGRAMIN ÖDEME TARİHİNDEN İTİBAREN 1 AY İÇİNDE TAMAMLANMASI GEREKİR.</t>
  </si>
  <si>
    <t>HAFTA İÇİ ÖĞLEDEN ÖNCE VE ÖĞLEDEN SONRA OLACAK ŞEKİLDE 2 GRUP AÇILACAKTIR,  UYGUNLUK OLMASI DURUMUNDA GRUPLAR ARASINDA TELEAFİ YAPILABİLECEKTİR.</t>
  </si>
  <si>
    <t>GRUPLARIN TOPLAM ÖĞRENCİ SAYISI EN FAZLA 12 KİŞİ OLACAK ŞEKİLDE PROGRAMLANMIŞTIR.</t>
  </si>
  <si>
    <t>ARA ÖĞÜN VERİLECEKTİR. H.SONU BELİRLENEN ZAMAN DİLİMİNDE 1 SAAT SERBEST OYUM ÜCRETSİZDİR</t>
  </si>
  <si>
    <t>HAFTADA 1 GÜN İNGİLİZCE OYUN GRUBU HEDİYEDİR (KONTENJANLA SINIRLIDIR)</t>
  </si>
  <si>
    <t>İNGİLİZCE GRUBU</t>
  </si>
  <si>
    <t>ETKİNLİK SÜRESİ 2 SAAT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</si>
</sst>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11"/>
      <color rgb="FF00B050"/>
      <name val="Calibri"/>
      <family val="2"/>
      <charset val="162"/>
      <scheme val="minor"/>
    </font>
    <font>
      <sz val="11"/>
      <color rgb="FF00B050"/>
      <name val="Calibri"/>
      <family val="2"/>
      <charset val="162"/>
      <scheme val="minor"/>
    </font>
    <font>
      <sz val="11"/>
      <color rgb="FF92D050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color rgb="FFFF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E6F3DD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95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Border="1" applyAlignment="1"/>
    <xf numFmtId="0" fontId="0" fillId="0" borderId="0" xfId="0" applyBorder="1" applyAlignment="1">
      <alignment horizontal="center" wrapText="1"/>
    </xf>
    <xf numFmtId="0" fontId="3" fillId="3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6" xfId="0" applyFill="1" applyBorder="1" applyAlignment="1">
      <alignment horizontal="center" vertical="center"/>
    </xf>
    <xf numFmtId="0" fontId="0" fillId="6" borderId="0" xfId="0" applyFill="1" applyBorder="1" applyAlignment="1">
      <alignment horizontal="center"/>
    </xf>
    <xf numFmtId="0" fontId="0" fillId="6" borderId="9" xfId="0" applyFill="1" applyBorder="1"/>
    <xf numFmtId="0" fontId="0" fillId="6" borderId="10" xfId="0" applyFill="1" applyBorder="1"/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0" fillId="9" borderId="6" xfId="0" applyFill="1" applyBorder="1" applyAlignment="1">
      <alignment horizontal="center" vertical="center"/>
    </xf>
    <xf numFmtId="0" fontId="0" fillId="9" borderId="0" xfId="0" applyFill="1" applyBorder="1" applyAlignment="1">
      <alignment horizontal="center"/>
    </xf>
    <xf numFmtId="0" fontId="0" fillId="9" borderId="9" xfId="0" applyFill="1" applyBorder="1"/>
    <xf numFmtId="0" fontId="0" fillId="9" borderId="1" xfId="0" applyFill="1" applyBorder="1"/>
    <xf numFmtId="0" fontId="0" fillId="8" borderId="1" xfId="0" applyFill="1" applyBorder="1" applyAlignment="1">
      <alignment horizontal="center" vertical="center" wrapText="1"/>
    </xf>
    <xf numFmtId="0" fontId="0" fillId="0" borderId="11" xfId="0" applyBorder="1" applyAlignment="1">
      <alignment horizontal="left"/>
    </xf>
    <xf numFmtId="0" fontId="0" fillId="0" borderId="11" xfId="0" applyBorder="1" applyAlignment="1">
      <alignment horizontal="left" wrapText="1"/>
    </xf>
    <xf numFmtId="0" fontId="0" fillId="0" borderId="6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11" borderId="0" xfId="0" applyFill="1"/>
    <xf numFmtId="0" fontId="3" fillId="11" borderId="0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11" borderId="0" xfId="0" applyFill="1" applyBorder="1" applyAlignment="1">
      <alignment horizontal="center"/>
    </xf>
    <xf numFmtId="0" fontId="0" fillId="11" borderId="0" xfId="0" applyFill="1" applyBorder="1" applyAlignment="1">
      <alignment horizontal="center" vertical="center" wrapText="1"/>
    </xf>
    <xf numFmtId="0" fontId="0" fillId="0" borderId="1" xfId="0" applyBorder="1"/>
    <xf numFmtId="0" fontId="0" fillId="0" borderId="11" xfId="0" applyBorder="1"/>
    <xf numFmtId="0" fontId="0" fillId="0" borderId="6" xfId="0" applyBorder="1"/>
    <xf numFmtId="0" fontId="0" fillId="0" borderId="0" xfId="0" applyBorder="1" applyAlignment="1">
      <alignment horizontal="left"/>
    </xf>
    <xf numFmtId="0" fontId="2" fillId="5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10" borderId="4" xfId="0" applyFont="1" applyFill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wrapText="1"/>
    </xf>
    <xf numFmtId="0" fontId="0" fillId="10" borderId="1" xfId="0" applyFill="1" applyBorder="1" applyAlignment="1">
      <alignment horizontal="center"/>
    </xf>
    <xf numFmtId="0" fontId="2" fillId="10" borderId="7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wrapText="1"/>
    </xf>
    <xf numFmtId="0" fontId="2" fillId="10" borderId="11" xfId="0" applyFont="1" applyFill="1" applyBorder="1" applyAlignment="1">
      <alignment horizontal="center" wrapText="1"/>
    </xf>
    <xf numFmtId="0" fontId="4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5" fillId="8" borderId="5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/>
    </xf>
    <xf numFmtId="0" fontId="5" fillId="8" borderId="0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2" fillId="10" borderId="2" xfId="0" applyFont="1" applyFill="1" applyBorder="1" applyAlignment="1">
      <alignment horizontal="center"/>
    </xf>
    <xf numFmtId="0" fontId="0" fillId="0" borderId="3" xfId="0" applyFill="1" applyBorder="1" applyAlignment="1">
      <alignment horizontal="center" vertical="center"/>
    </xf>
    <xf numFmtId="0" fontId="0" fillId="0" borderId="12" xfId="0" applyBorder="1"/>
    <xf numFmtId="0" fontId="0" fillId="0" borderId="14" xfId="0" applyBorder="1"/>
    <xf numFmtId="0" fontId="0" fillId="0" borderId="9" xfId="0" applyBorder="1"/>
    <xf numFmtId="0" fontId="0" fillId="0" borderId="10" xfId="0" applyBorder="1"/>
    <xf numFmtId="0" fontId="0" fillId="0" borderId="1" xfId="0" applyBorder="1" applyAlignment="1">
      <alignment horizontal="center" vertical="center"/>
    </xf>
    <xf numFmtId="0" fontId="5" fillId="8" borderId="9" xfId="0" applyFont="1" applyFill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 vertical="center" wrapText="1"/>
    </xf>
    <xf numFmtId="0" fontId="2" fillId="10" borderId="11" xfId="0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4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/>
    </xf>
    <xf numFmtId="0" fontId="5" fillId="1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7" borderId="5" xfId="0" applyFill="1" applyBorder="1"/>
    <xf numFmtId="0" fontId="0" fillId="7" borderId="6" xfId="0" applyFill="1" applyBorder="1"/>
    <xf numFmtId="0" fontId="0" fillId="7" borderId="1" xfId="0" applyFill="1" applyBorder="1"/>
    <xf numFmtId="0" fontId="2" fillId="10" borderId="13" xfId="0" applyFont="1" applyFill="1" applyBorder="1" applyAlignment="1">
      <alignment horizontal="center" vertical="center"/>
    </xf>
    <xf numFmtId="0" fontId="2" fillId="10" borderId="7" xfId="0" applyFont="1" applyFill="1" applyBorder="1" applyAlignment="1">
      <alignment horizontal="center" vertical="center"/>
    </xf>
    <xf numFmtId="0" fontId="2" fillId="10" borderId="8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12" borderId="5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12" borderId="0" xfId="0" applyFill="1" applyAlignment="1">
      <alignment horizontal="center" vertical="center"/>
    </xf>
    <xf numFmtId="0" fontId="1" fillId="0" borderId="13" xfId="0" applyFont="1" applyBorder="1"/>
    <xf numFmtId="0" fontId="0" fillId="11" borderId="0" xfId="0" applyFill="1" applyBorder="1"/>
    <xf numFmtId="1" fontId="7" fillId="11" borderId="0" xfId="0" applyNumberFormat="1" applyFont="1" applyFill="1" applyAlignment="1">
      <alignment horizontal="center"/>
    </xf>
    <xf numFmtId="9" fontId="8" fillId="11" borderId="0" xfId="0" applyNumberFormat="1" applyFont="1" applyFill="1"/>
    <xf numFmtId="0" fontId="0" fillId="11" borderId="0" xfId="0" applyFill="1" applyBorder="1" applyAlignment="1">
      <alignment wrapText="1"/>
    </xf>
    <xf numFmtId="0" fontId="0" fillId="11" borderId="0" xfId="0" applyFill="1" applyAlignment="1">
      <alignment wrapText="1"/>
    </xf>
    <xf numFmtId="0" fontId="0" fillId="14" borderId="0" xfId="0" applyFill="1"/>
    <xf numFmtId="9" fontId="8" fillId="14" borderId="15" xfId="0" applyNumberFormat="1" applyFont="1" applyFill="1" applyBorder="1"/>
    <xf numFmtId="0" fontId="0" fillId="15" borderId="13" xfId="0" applyFill="1" applyBorder="1"/>
    <xf numFmtId="0" fontId="2" fillId="15" borderId="2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2" fillId="15" borderId="4" xfId="0" applyFont="1" applyFill="1" applyBorder="1" applyAlignment="1">
      <alignment horizontal="center"/>
    </xf>
    <xf numFmtId="0" fontId="0" fillId="15" borderId="0" xfId="0" applyFill="1"/>
    <xf numFmtId="0" fontId="0" fillId="15" borderId="1" xfId="0" applyFill="1" applyBorder="1"/>
    <xf numFmtId="0" fontId="2" fillId="15" borderId="1" xfId="0" applyFont="1" applyFill="1" applyBorder="1"/>
    <xf numFmtId="0" fontId="0" fillId="15" borderId="14" xfId="0" applyFill="1" applyBorder="1"/>
    <xf numFmtId="0" fontId="0" fillId="15" borderId="12" xfId="0" applyFill="1" applyBorder="1"/>
    <xf numFmtId="0" fontId="2" fillId="15" borderId="0" xfId="0" applyFont="1" applyFill="1" applyBorder="1" applyAlignment="1">
      <alignment horizontal="center"/>
    </xf>
    <xf numFmtId="0" fontId="2" fillId="15" borderId="14" xfId="0" applyFont="1" applyFill="1" applyBorder="1" applyAlignment="1">
      <alignment horizontal="center"/>
    </xf>
    <xf numFmtId="9" fontId="8" fillId="15" borderId="15" xfId="0" applyNumberFormat="1" applyFont="1" applyFill="1" applyBorder="1"/>
    <xf numFmtId="1" fontId="7" fillId="15" borderId="9" xfId="0" applyNumberFormat="1" applyFont="1" applyFill="1" applyBorder="1" applyAlignment="1">
      <alignment horizontal="center"/>
    </xf>
    <xf numFmtId="1" fontId="7" fillId="15" borderId="10" xfId="0" applyNumberFormat="1" applyFont="1" applyFill="1" applyBorder="1" applyAlignment="1">
      <alignment horizontal="center"/>
    </xf>
    <xf numFmtId="9" fontId="8" fillId="15" borderId="0" xfId="0" applyNumberFormat="1" applyFont="1" applyFill="1" applyBorder="1"/>
    <xf numFmtId="1" fontId="7" fillId="15" borderId="0" xfId="0" applyNumberFormat="1" applyFont="1" applyFill="1" applyBorder="1" applyAlignment="1">
      <alignment horizontal="center"/>
    </xf>
    <xf numFmtId="9" fontId="8" fillId="15" borderId="0" xfId="0" applyNumberFormat="1" applyFont="1" applyFill="1"/>
    <xf numFmtId="1" fontId="7" fillId="15" borderId="0" xfId="0" applyNumberFormat="1" applyFont="1" applyFill="1" applyAlignment="1">
      <alignment horizontal="center"/>
    </xf>
    <xf numFmtId="0" fontId="0" fillId="15" borderId="0" xfId="0" applyFill="1" applyBorder="1" applyAlignment="1">
      <alignment wrapText="1"/>
    </xf>
    <xf numFmtId="0" fontId="0" fillId="15" borderId="0" xfId="0" applyFill="1" applyBorder="1"/>
    <xf numFmtId="0" fontId="0" fillId="5" borderId="13" xfId="0" applyFill="1" applyBorder="1"/>
    <xf numFmtId="0" fontId="2" fillId="5" borderId="7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0" fillId="5" borderId="0" xfId="0" applyFill="1"/>
    <xf numFmtId="0" fontId="0" fillId="5" borderId="1" xfId="0" applyFill="1" applyBorder="1" applyAlignment="1">
      <alignment horizontal="center"/>
    </xf>
    <xf numFmtId="0" fontId="0" fillId="5" borderId="14" xfId="0" applyFill="1" applyBorder="1"/>
    <xf numFmtId="0" fontId="2" fillId="5" borderId="0" xfId="0" applyFont="1" applyFill="1" applyAlignment="1">
      <alignment horizontal="center"/>
    </xf>
    <xf numFmtId="9" fontId="8" fillId="5" borderId="15" xfId="0" applyNumberFormat="1" applyFont="1" applyFill="1" applyBorder="1"/>
    <xf numFmtId="0" fontId="8" fillId="5" borderId="0" xfId="0" applyFont="1" applyFill="1" applyAlignment="1">
      <alignment horizontal="center" vertical="center"/>
    </xf>
    <xf numFmtId="0" fontId="0" fillId="5" borderId="0" xfId="0" applyFill="1" applyBorder="1"/>
    <xf numFmtId="9" fontId="8" fillId="5" borderId="0" xfId="0" applyNumberFormat="1" applyFont="1" applyFill="1" applyBorder="1"/>
    <xf numFmtId="0" fontId="0" fillId="5" borderId="0" xfId="0" applyFill="1" applyBorder="1" applyAlignment="1">
      <alignment wrapText="1"/>
    </xf>
    <xf numFmtId="0" fontId="1" fillId="16" borderId="13" xfId="0" applyFont="1" applyFill="1" applyBorder="1"/>
    <xf numFmtId="0" fontId="0" fillId="16" borderId="1" xfId="0" applyFill="1" applyBorder="1" applyAlignment="1">
      <alignment horizontal="center"/>
    </xf>
    <xf numFmtId="0" fontId="0" fillId="16" borderId="0" xfId="0" applyFill="1"/>
    <xf numFmtId="0" fontId="2" fillId="16" borderId="0" xfId="0" applyFont="1" applyFill="1" applyAlignment="1">
      <alignment horizontal="center"/>
    </xf>
    <xf numFmtId="9" fontId="8" fillId="16" borderId="15" xfId="0" applyNumberFormat="1" applyFont="1" applyFill="1" applyBorder="1"/>
    <xf numFmtId="0" fontId="8" fillId="16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/>
    </xf>
    <xf numFmtId="0" fontId="8" fillId="14" borderId="0" xfId="0" applyFont="1" applyFill="1" applyAlignment="1">
      <alignment horizontal="center" vertical="center"/>
    </xf>
    <xf numFmtId="0" fontId="2" fillId="13" borderId="0" xfId="0" applyFont="1" applyFill="1"/>
    <xf numFmtId="0" fontId="0" fillId="13" borderId="0" xfId="0" applyFill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CFF"/>
      <color rgb="FFCCFFCC"/>
      <color rgb="FFFFFF99"/>
      <color rgb="FFFFFFCC"/>
      <color rgb="FFE6F3D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39"/>
  <sheetViews>
    <sheetView tabSelected="1" topLeftCell="A17" zoomScale="70" zoomScaleNormal="70" workbookViewId="0">
      <selection activeCell="E21" sqref="E21"/>
    </sheetView>
  </sheetViews>
  <sheetFormatPr defaultRowHeight="15" x14ac:dyDescent="0.25"/>
  <cols>
    <col min="2" max="2" width="14.85546875" customWidth="1"/>
    <col min="3" max="3" width="22.7109375" bestFit="1" customWidth="1"/>
    <col min="4" max="4" width="24.28515625" customWidth="1"/>
    <col min="5" max="5" width="18.42578125" customWidth="1"/>
    <col min="6" max="6" width="17" customWidth="1"/>
    <col min="7" max="7" width="19.28515625" bestFit="1" customWidth="1"/>
    <col min="8" max="8" width="24.28515625" bestFit="1" customWidth="1"/>
    <col min="9" max="10" width="23.140625" customWidth="1"/>
    <col min="11" max="11" width="26.28515625" customWidth="1"/>
    <col min="12" max="12" width="23.7109375" style="40" customWidth="1"/>
    <col min="13" max="13" width="41.85546875" bestFit="1" customWidth="1"/>
    <col min="14" max="14" width="44.5703125" bestFit="1" customWidth="1"/>
    <col min="15" max="15" width="38" bestFit="1" customWidth="1"/>
    <col min="16" max="16" width="19.85546875" bestFit="1" customWidth="1"/>
    <col min="17" max="17" width="27.42578125" bestFit="1" customWidth="1"/>
    <col min="18" max="18" width="23.7109375" bestFit="1" customWidth="1"/>
    <col min="19" max="19" width="32.5703125" bestFit="1" customWidth="1"/>
    <col min="20" max="20" width="23.42578125" bestFit="1" customWidth="1"/>
    <col min="21" max="21" width="23.140625" bestFit="1" customWidth="1"/>
    <col min="22" max="22" width="23.5703125" bestFit="1" customWidth="1"/>
    <col min="23" max="23" width="23.5703125" customWidth="1"/>
    <col min="24" max="24" width="19.7109375" customWidth="1"/>
  </cols>
  <sheetData>
    <row r="1" spans="2:24" ht="15.75" thickBot="1" x14ac:dyDescent="0.3"/>
    <row r="2" spans="2:24" ht="19.5" thickBot="1" x14ac:dyDescent="0.35">
      <c r="C2" s="7" t="s">
        <v>1</v>
      </c>
      <c r="D2" s="115" t="s">
        <v>2</v>
      </c>
      <c r="E2" s="116"/>
      <c r="F2" s="116"/>
      <c r="G2" s="116"/>
      <c r="H2" s="116"/>
      <c r="I2" s="116"/>
      <c r="J2" s="116"/>
      <c r="K2" s="117"/>
      <c r="L2" s="41"/>
      <c r="M2" s="5"/>
      <c r="N2" s="5"/>
    </row>
    <row r="3" spans="2:24" ht="15.75" thickBot="1" x14ac:dyDescent="0.3">
      <c r="C3" s="1"/>
      <c r="D3" s="1"/>
      <c r="E3" s="1"/>
      <c r="F3" s="1"/>
      <c r="G3" s="1"/>
      <c r="H3" s="1"/>
      <c r="I3" s="1"/>
      <c r="J3" s="1"/>
      <c r="K3" s="1"/>
      <c r="L3" s="42"/>
      <c r="M3" s="1"/>
      <c r="N3" s="1"/>
    </row>
    <row r="4" spans="2:24" ht="30.75" thickBot="1" x14ac:dyDescent="0.3">
      <c r="B4" s="125" t="s">
        <v>70</v>
      </c>
      <c r="C4" s="10" t="s">
        <v>0</v>
      </c>
      <c r="D4" s="71" t="s">
        <v>3</v>
      </c>
      <c r="E4" s="71" t="s">
        <v>10</v>
      </c>
      <c r="F4" s="58" t="s">
        <v>33</v>
      </c>
      <c r="G4" s="49" t="s">
        <v>43</v>
      </c>
      <c r="H4" s="121" t="s">
        <v>43</v>
      </c>
      <c r="I4" s="71" t="s">
        <v>31</v>
      </c>
      <c r="J4" s="71"/>
      <c r="K4" s="71" t="s">
        <v>35</v>
      </c>
      <c r="L4" s="42"/>
      <c r="M4" s="39" t="s">
        <v>15</v>
      </c>
      <c r="N4" s="39" t="s">
        <v>21</v>
      </c>
      <c r="O4" s="45" t="s">
        <v>34</v>
      </c>
    </row>
    <row r="5" spans="2:24" ht="15.75" thickBot="1" x14ac:dyDescent="0.3">
      <c r="C5" s="11" t="s">
        <v>25</v>
      </c>
      <c r="D5" s="72" t="s">
        <v>36</v>
      </c>
      <c r="E5" s="73" t="s">
        <v>12</v>
      </c>
      <c r="F5" s="67" t="s">
        <v>32</v>
      </c>
      <c r="G5" s="55"/>
      <c r="H5" s="122" t="s">
        <v>13</v>
      </c>
      <c r="I5" s="72" t="s">
        <v>45</v>
      </c>
      <c r="J5" s="72"/>
      <c r="K5" s="72" t="s">
        <v>13</v>
      </c>
      <c r="L5" s="42"/>
      <c r="M5" s="36" t="s">
        <v>24</v>
      </c>
      <c r="N5" s="36" t="s">
        <v>22</v>
      </c>
      <c r="O5" s="46"/>
    </row>
    <row r="6" spans="2:24" ht="45.75" thickBot="1" x14ac:dyDescent="0.3">
      <c r="C6" s="10" t="s">
        <v>11</v>
      </c>
      <c r="D6" s="74" t="s">
        <v>14</v>
      </c>
      <c r="E6" s="75" t="s">
        <v>59</v>
      </c>
      <c r="F6" s="89"/>
      <c r="G6" s="9"/>
      <c r="H6" s="124" t="s">
        <v>60</v>
      </c>
      <c r="I6" s="75" t="s">
        <v>41</v>
      </c>
      <c r="J6" s="75"/>
      <c r="K6" s="75" t="s">
        <v>44</v>
      </c>
      <c r="L6" s="42"/>
      <c r="M6" s="36" t="s">
        <v>19</v>
      </c>
      <c r="N6" s="36" t="s">
        <v>67</v>
      </c>
      <c r="O6" s="46"/>
    </row>
    <row r="7" spans="2:24" x14ac:dyDescent="0.25">
      <c r="C7" s="2" t="s">
        <v>57</v>
      </c>
      <c r="D7" s="76" t="s">
        <v>56</v>
      </c>
      <c r="E7" s="77" t="s">
        <v>54</v>
      </c>
      <c r="F7" s="6"/>
      <c r="G7" s="6"/>
      <c r="H7" s="119" t="s">
        <v>65</v>
      </c>
      <c r="I7" s="118" t="s">
        <v>54</v>
      </c>
      <c r="J7" s="118"/>
      <c r="K7" s="120" t="s">
        <v>54</v>
      </c>
      <c r="L7" s="42"/>
      <c r="M7" s="36" t="s">
        <v>17</v>
      </c>
      <c r="N7" s="36" t="s">
        <v>18</v>
      </c>
      <c r="O7" s="46"/>
    </row>
    <row r="8" spans="2:24" ht="15.75" thickBot="1" x14ac:dyDescent="0.3">
      <c r="D8" s="78"/>
      <c r="E8" s="78"/>
      <c r="F8" s="1"/>
      <c r="G8" s="1"/>
      <c r="H8" s="1"/>
      <c r="I8" s="1"/>
      <c r="J8" s="1"/>
      <c r="K8" s="1"/>
      <c r="L8" s="42"/>
      <c r="M8" s="36" t="s">
        <v>18</v>
      </c>
      <c r="N8" s="36" t="s">
        <v>23</v>
      </c>
      <c r="O8" s="46"/>
    </row>
    <row r="9" spans="2:24" ht="15.75" thickBot="1" x14ac:dyDescent="0.3">
      <c r="C9" s="12" t="s">
        <v>4</v>
      </c>
      <c r="D9" s="79" t="s">
        <v>3</v>
      </c>
      <c r="E9" s="79" t="s">
        <v>10</v>
      </c>
      <c r="F9" s="58" t="s">
        <v>33</v>
      </c>
      <c r="G9" s="50" t="s">
        <v>43</v>
      </c>
      <c r="H9" s="121" t="s">
        <v>43</v>
      </c>
      <c r="I9" s="79" t="s">
        <v>31</v>
      </c>
      <c r="J9" s="79"/>
      <c r="K9" s="79" t="s">
        <v>35</v>
      </c>
      <c r="L9" s="42"/>
      <c r="M9" s="36" t="s">
        <v>16</v>
      </c>
      <c r="N9" s="36" t="s">
        <v>28</v>
      </c>
      <c r="O9" s="46"/>
    </row>
    <row r="10" spans="2:24" ht="30.75" thickBot="1" x14ac:dyDescent="0.3">
      <c r="C10" s="12" t="s">
        <v>25</v>
      </c>
      <c r="D10" s="80" t="s">
        <v>36</v>
      </c>
      <c r="E10" s="80" t="s">
        <v>13</v>
      </c>
      <c r="F10" s="67" t="s">
        <v>32</v>
      </c>
      <c r="G10" s="54"/>
      <c r="H10" s="122" t="s">
        <v>76</v>
      </c>
      <c r="I10" s="80" t="s">
        <v>12</v>
      </c>
      <c r="J10" s="80"/>
      <c r="K10" s="80" t="s">
        <v>37</v>
      </c>
      <c r="L10" s="42"/>
      <c r="M10" s="37" t="s">
        <v>20</v>
      </c>
      <c r="N10" s="36" t="s">
        <v>68</v>
      </c>
      <c r="O10" s="46"/>
    </row>
    <row r="11" spans="2:24" ht="45.75" thickBot="1" x14ac:dyDescent="0.3">
      <c r="C11" s="12" t="s">
        <v>11</v>
      </c>
      <c r="D11" s="81" t="s">
        <v>14</v>
      </c>
      <c r="E11" s="82" t="s">
        <v>71</v>
      </c>
      <c r="F11" s="90"/>
      <c r="G11" s="8"/>
      <c r="H11" s="124" t="s">
        <v>42</v>
      </c>
      <c r="I11" s="82" t="s">
        <v>71</v>
      </c>
      <c r="J11" s="82"/>
      <c r="K11" s="82" t="s">
        <v>41</v>
      </c>
      <c r="L11" s="42"/>
      <c r="M11" s="38"/>
      <c r="N11" s="38"/>
      <c r="O11" s="47"/>
    </row>
    <row r="12" spans="2:24" x14ac:dyDescent="0.25">
      <c r="C12" s="2" t="s">
        <v>57</v>
      </c>
      <c r="D12" s="83" t="s">
        <v>58</v>
      </c>
      <c r="E12" s="78" t="s">
        <v>55</v>
      </c>
      <c r="F12" s="1"/>
      <c r="G12" s="1"/>
      <c r="H12" s="120" t="s">
        <v>56</v>
      </c>
      <c r="I12" s="120" t="s">
        <v>54</v>
      </c>
      <c r="J12" s="120"/>
      <c r="K12" s="120" t="s">
        <v>55</v>
      </c>
      <c r="L12" s="42"/>
      <c r="M12" s="48"/>
      <c r="N12" s="48"/>
      <c r="O12" s="3"/>
      <c r="R12" s="129" t="s">
        <v>52</v>
      </c>
      <c r="S12" s="130"/>
      <c r="T12" s="130"/>
      <c r="U12" s="130"/>
      <c r="V12" s="130"/>
      <c r="W12" s="130"/>
      <c r="X12" s="131"/>
    </row>
    <row r="13" spans="2:24" ht="15.75" thickBot="1" x14ac:dyDescent="0.3">
      <c r="C13" s="1"/>
      <c r="D13" s="78"/>
      <c r="E13" s="78"/>
      <c r="F13" s="1"/>
      <c r="G13" s="1"/>
      <c r="H13" s="1"/>
      <c r="I13" s="1"/>
      <c r="J13" s="1"/>
      <c r="K13" s="1"/>
      <c r="L13" s="42"/>
      <c r="M13" s="48"/>
      <c r="N13" s="48"/>
      <c r="O13" s="3"/>
      <c r="R13" s="106"/>
      <c r="S13" s="3"/>
      <c r="T13" s="3"/>
      <c r="U13" s="3"/>
      <c r="V13" s="3"/>
      <c r="W13" s="3"/>
      <c r="X13" s="107"/>
    </row>
    <row r="14" spans="2:24" ht="15.75" thickBot="1" x14ac:dyDescent="0.3">
      <c r="C14" s="13" t="s">
        <v>5</v>
      </c>
      <c r="D14" s="84" t="s">
        <v>3</v>
      </c>
      <c r="E14" s="84" t="s">
        <v>10</v>
      </c>
      <c r="F14" s="58" t="s">
        <v>33</v>
      </c>
      <c r="G14" s="51"/>
      <c r="H14" s="121" t="s">
        <v>43</v>
      </c>
      <c r="I14" s="84" t="s">
        <v>35</v>
      </c>
      <c r="J14" s="84"/>
      <c r="K14" s="84" t="s">
        <v>30</v>
      </c>
      <c r="L14" s="43"/>
      <c r="M14" s="48" t="s">
        <v>48</v>
      </c>
      <c r="N14" s="48" t="s">
        <v>49</v>
      </c>
      <c r="O14" s="3" t="s">
        <v>49</v>
      </c>
      <c r="P14" t="s">
        <v>81</v>
      </c>
      <c r="Q14" s="3" t="s">
        <v>49</v>
      </c>
      <c r="R14" s="68" t="s">
        <v>40</v>
      </c>
      <c r="S14" s="58" t="s">
        <v>13</v>
      </c>
      <c r="T14" s="68" t="s">
        <v>45</v>
      </c>
      <c r="U14" s="58" t="s">
        <v>13</v>
      </c>
      <c r="V14" s="58" t="s">
        <v>37</v>
      </c>
      <c r="W14" s="57" t="s">
        <v>13</v>
      </c>
      <c r="X14" s="114" t="s">
        <v>40</v>
      </c>
    </row>
    <row r="15" spans="2:24" ht="45.75" thickBot="1" x14ac:dyDescent="0.3">
      <c r="C15" s="14" t="s">
        <v>25</v>
      </c>
      <c r="D15" s="85" t="s">
        <v>36</v>
      </c>
      <c r="E15" s="86" t="s">
        <v>12</v>
      </c>
      <c r="F15" s="67" t="s">
        <v>32</v>
      </c>
      <c r="G15" s="56"/>
      <c r="H15" s="122" t="s">
        <v>45</v>
      </c>
      <c r="I15" s="86" t="s">
        <v>13</v>
      </c>
      <c r="J15" s="85"/>
      <c r="K15" s="85" t="s">
        <v>36</v>
      </c>
      <c r="L15" s="43"/>
      <c r="M15" s="58" t="s">
        <v>36</v>
      </c>
      <c r="N15" s="58" t="s">
        <v>27</v>
      </c>
      <c r="O15" s="59" t="s">
        <v>13</v>
      </c>
      <c r="P15" s="57" t="s">
        <v>38</v>
      </c>
      <c r="Q15" s="104" t="s">
        <v>45</v>
      </c>
      <c r="R15" s="93" t="s">
        <v>47</v>
      </c>
      <c r="S15" s="92" t="s">
        <v>66</v>
      </c>
      <c r="T15" s="113" t="s">
        <v>46</v>
      </c>
      <c r="U15" s="112" t="s">
        <v>74</v>
      </c>
      <c r="V15" s="112" t="s">
        <v>78</v>
      </c>
      <c r="W15" s="92" t="s">
        <v>66</v>
      </c>
      <c r="X15" s="88" t="s">
        <v>77</v>
      </c>
    </row>
    <row r="16" spans="2:24" ht="45.75" thickBot="1" x14ac:dyDescent="0.3">
      <c r="C16" s="13" t="s">
        <v>11</v>
      </c>
      <c r="D16" s="87" t="s">
        <v>14</v>
      </c>
      <c r="E16" s="87" t="s">
        <v>59</v>
      </c>
      <c r="F16" s="89"/>
      <c r="G16" s="15"/>
      <c r="H16" s="124" t="s">
        <v>74</v>
      </c>
      <c r="I16" s="87" t="s">
        <v>59</v>
      </c>
      <c r="J16" s="87"/>
      <c r="K16" s="87" t="s">
        <v>14</v>
      </c>
      <c r="L16" s="44"/>
      <c r="M16" s="60" t="s">
        <v>26</v>
      </c>
      <c r="N16" s="60" t="s">
        <v>61</v>
      </c>
      <c r="O16" s="61" t="s">
        <v>63</v>
      </c>
      <c r="P16" s="69" t="s">
        <v>39</v>
      </c>
      <c r="Q16" s="105" t="s">
        <v>50</v>
      </c>
      <c r="R16" s="69" t="s">
        <v>72</v>
      </c>
      <c r="S16" s="142" t="s">
        <v>69</v>
      </c>
      <c r="T16" s="69" t="s">
        <v>73</v>
      </c>
      <c r="U16" s="70" t="s">
        <v>75</v>
      </c>
      <c r="V16" s="69" t="s">
        <v>53</v>
      </c>
      <c r="W16" s="110" t="s">
        <v>79</v>
      </c>
      <c r="X16" s="69" t="s">
        <v>51</v>
      </c>
    </row>
    <row r="17" spans="3:24" ht="15.75" thickBot="1" x14ac:dyDescent="0.3">
      <c r="C17" s="2" t="s">
        <v>57</v>
      </c>
      <c r="D17" s="123" t="s">
        <v>58</v>
      </c>
      <c r="E17" s="119" t="s">
        <v>55</v>
      </c>
      <c r="F17" s="120"/>
      <c r="G17" s="120"/>
      <c r="H17" s="120" t="s">
        <v>56</v>
      </c>
      <c r="I17" s="123" t="s">
        <v>55</v>
      </c>
      <c r="J17" s="123"/>
      <c r="K17" s="120" t="s">
        <v>58</v>
      </c>
      <c r="L17" s="42"/>
      <c r="M17" s="110" t="s">
        <v>29</v>
      </c>
      <c r="N17" s="110" t="s">
        <v>62</v>
      </c>
      <c r="O17" s="70" t="s">
        <v>64</v>
      </c>
      <c r="P17" s="69" t="s">
        <v>51</v>
      </c>
      <c r="R17" s="143" t="s">
        <v>87</v>
      </c>
      <c r="S17" s="108"/>
      <c r="T17" s="62" t="s">
        <v>86</v>
      </c>
      <c r="U17" s="108"/>
      <c r="V17" s="108"/>
      <c r="W17" s="108"/>
      <c r="X17" s="109"/>
    </row>
    <row r="18" spans="3:24" ht="15.75" thickBot="1" x14ac:dyDescent="0.3">
      <c r="C18" s="1"/>
      <c r="D18" s="1"/>
      <c r="E18" s="1"/>
      <c r="F18" s="1"/>
      <c r="G18" s="1"/>
      <c r="H18" s="1"/>
      <c r="I18" s="1"/>
      <c r="J18" s="1"/>
      <c r="K18" s="1"/>
      <c r="L18" s="42"/>
      <c r="M18" s="1"/>
      <c r="N18" s="144" t="s">
        <v>90</v>
      </c>
      <c r="O18" s="144" t="s">
        <v>89</v>
      </c>
      <c r="P18" s="144" t="s">
        <v>88</v>
      </c>
    </row>
    <row r="19" spans="3:24" ht="15.75" thickBot="1" x14ac:dyDescent="0.3">
      <c r="C19" s="63" t="s">
        <v>6</v>
      </c>
      <c r="D19" s="94" t="s">
        <v>10</v>
      </c>
      <c r="E19" s="94" t="s">
        <v>10</v>
      </c>
      <c r="F19" s="58" t="s">
        <v>33</v>
      </c>
      <c r="G19" s="52"/>
      <c r="H19" s="121" t="s">
        <v>43</v>
      </c>
      <c r="I19" s="94" t="s">
        <v>31</v>
      </c>
      <c r="J19" s="126"/>
      <c r="K19" s="94" t="s">
        <v>30</v>
      </c>
      <c r="L19" s="42"/>
      <c r="M19" s="1"/>
      <c r="N19" s="1"/>
    </row>
    <row r="20" spans="3:24" ht="15.75" thickBot="1" x14ac:dyDescent="0.3">
      <c r="C20" s="64" t="s">
        <v>25</v>
      </c>
      <c r="D20" s="95" t="s">
        <v>13</v>
      </c>
      <c r="E20" s="95" t="s">
        <v>37</v>
      </c>
      <c r="F20" s="90" t="s">
        <v>32</v>
      </c>
      <c r="G20" s="25"/>
      <c r="H20" s="134" t="s">
        <v>13</v>
      </c>
      <c r="I20" s="101" t="s">
        <v>12</v>
      </c>
      <c r="J20" s="128"/>
      <c r="K20" s="97" t="s">
        <v>36</v>
      </c>
      <c r="L20" s="42"/>
      <c r="M20" s="1"/>
      <c r="N20" s="1"/>
    </row>
    <row r="21" spans="3:24" ht="45.75" thickBot="1" x14ac:dyDescent="0.3">
      <c r="C21" s="63" t="s">
        <v>11</v>
      </c>
      <c r="D21" s="96" t="s">
        <v>71</v>
      </c>
      <c r="E21" s="96" t="s">
        <v>78</v>
      </c>
      <c r="F21" s="67"/>
      <c r="G21" s="24"/>
      <c r="H21" s="124" t="s">
        <v>74</v>
      </c>
      <c r="I21" s="96" t="s">
        <v>71</v>
      </c>
      <c r="J21" s="127"/>
      <c r="K21" s="96" t="s">
        <v>14</v>
      </c>
      <c r="L21" s="42"/>
      <c r="M21" s="1"/>
      <c r="N21" s="1"/>
    </row>
    <row r="22" spans="3:24" x14ac:dyDescent="0.25">
      <c r="C22" s="2" t="s">
        <v>57</v>
      </c>
      <c r="D22" s="123" t="s">
        <v>54</v>
      </c>
      <c r="E22" s="123" t="s">
        <v>55</v>
      </c>
      <c r="F22" s="123"/>
      <c r="G22" s="123"/>
      <c r="H22" s="123" t="s">
        <v>56</v>
      </c>
      <c r="I22" s="123" t="s">
        <v>55</v>
      </c>
      <c r="J22" s="123"/>
      <c r="K22" s="78" t="s">
        <v>58</v>
      </c>
      <c r="L22" s="42"/>
      <c r="M22" s="1"/>
      <c r="N22" s="1"/>
    </row>
    <row r="23" spans="3:24" s="3" customFormat="1" ht="15.75" thickBot="1" x14ac:dyDescent="0.3">
      <c r="C23" s="2"/>
      <c r="D23" s="4"/>
      <c r="E23" s="4"/>
      <c r="F23" s="4"/>
      <c r="G23" s="4"/>
      <c r="H23" s="4"/>
      <c r="I23" s="4"/>
      <c r="J23" s="4"/>
      <c r="K23" s="83"/>
      <c r="L23" s="43"/>
      <c r="M23" s="1"/>
      <c r="N23" s="1"/>
      <c r="O23"/>
    </row>
    <row r="24" spans="3:24" ht="15.75" thickBot="1" x14ac:dyDescent="0.3">
      <c r="C24" s="65" t="s">
        <v>7</v>
      </c>
      <c r="D24" s="98" t="s">
        <v>10</v>
      </c>
      <c r="E24" s="98" t="s">
        <v>10</v>
      </c>
      <c r="F24" s="91" t="s">
        <v>33</v>
      </c>
      <c r="G24" s="53"/>
      <c r="H24" s="135" t="s">
        <v>43</v>
      </c>
      <c r="I24" s="98"/>
      <c r="J24" s="98" t="s">
        <v>31</v>
      </c>
      <c r="K24" s="98" t="s">
        <v>30</v>
      </c>
      <c r="L24" s="43"/>
      <c r="M24" s="1"/>
      <c r="N24" s="1"/>
    </row>
    <row r="25" spans="3:24" ht="15.75" thickBot="1" x14ac:dyDescent="0.3">
      <c r="C25" s="66" t="s">
        <v>25</v>
      </c>
      <c r="D25" s="103" t="s">
        <v>37</v>
      </c>
      <c r="E25" s="103" t="s">
        <v>40</v>
      </c>
      <c r="F25" s="90" t="s">
        <v>32</v>
      </c>
      <c r="G25" s="26"/>
      <c r="H25" s="136" t="s">
        <v>13</v>
      </c>
      <c r="I25" s="103"/>
      <c r="J25" s="102" t="s">
        <v>45</v>
      </c>
      <c r="K25" s="99" t="s">
        <v>36</v>
      </c>
      <c r="L25" s="43"/>
      <c r="M25" s="1"/>
      <c r="N25" s="1"/>
    </row>
    <row r="26" spans="3:24" ht="60.75" thickBot="1" x14ac:dyDescent="0.3">
      <c r="C26" s="65" t="s">
        <v>11</v>
      </c>
      <c r="D26" s="100" t="s">
        <v>41</v>
      </c>
      <c r="E26" s="111" t="s">
        <v>80</v>
      </c>
      <c r="F26" s="88"/>
      <c r="G26" s="35"/>
      <c r="H26" s="137" t="s">
        <v>66</v>
      </c>
      <c r="I26" s="100"/>
      <c r="J26" s="100" t="s">
        <v>41</v>
      </c>
      <c r="K26" s="100" t="s">
        <v>14</v>
      </c>
      <c r="L26" s="44"/>
      <c r="M26" s="1"/>
      <c r="N26" s="4"/>
      <c r="O26" s="2"/>
    </row>
    <row r="27" spans="3:24" x14ac:dyDescent="0.25">
      <c r="C27" s="2" t="s">
        <v>57</v>
      </c>
      <c r="D27" s="123" t="s">
        <v>54</v>
      </c>
      <c r="E27" s="123" t="s">
        <v>55</v>
      </c>
      <c r="F27" s="123"/>
      <c r="G27" s="123"/>
      <c r="H27" s="123" t="s">
        <v>56</v>
      </c>
      <c r="I27" s="123"/>
      <c r="J27" s="123" t="s">
        <v>54</v>
      </c>
      <c r="K27" s="123" t="s">
        <v>56</v>
      </c>
      <c r="N27" s="4"/>
      <c r="O27" s="1"/>
    </row>
    <row r="28" spans="3:24" ht="15.75" thickBot="1" x14ac:dyDescent="0.3">
      <c r="C28" s="2"/>
      <c r="N28" s="1"/>
      <c r="O28" s="1"/>
    </row>
    <row r="29" spans="3:24" ht="15.75" thickBot="1" x14ac:dyDescent="0.3">
      <c r="C29" s="27" t="s">
        <v>8</v>
      </c>
      <c r="D29" s="28"/>
      <c r="E29" s="28"/>
      <c r="F29" s="29"/>
      <c r="G29" s="28"/>
      <c r="H29" s="28"/>
      <c r="I29" s="30"/>
      <c r="J29" s="30"/>
      <c r="K29" s="30"/>
      <c r="L29" s="42"/>
      <c r="N29" s="1"/>
    </row>
    <row r="30" spans="3:24" ht="15.75" thickBot="1" x14ac:dyDescent="0.3">
      <c r="C30" s="31" t="s">
        <v>25</v>
      </c>
      <c r="D30" s="32"/>
      <c r="E30" s="28"/>
      <c r="F30" s="28"/>
      <c r="G30" s="28"/>
      <c r="H30" s="28"/>
      <c r="I30" s="28"/>
      <c r="J30" s="28"/>
      <c r="K30" s="28"/>
      <c r="L30" s="42"/>
    </row>
    <row r="31" spans="3:24" ht="15.75" thickBot="1" x14ac:dyDescent="0.3">
      <c r="C31" s="27" t="s">
        <v>11</v>
      </c>
      <c r="D31" s="132"/>
      <c r="E31" s="33"/>
      <c r="F31" s="34"/>
      <c r="G31" s="33"/>
      <c r="H31" s="34"/>
      <c r="I31" s="34"/>
      <c r="J31" s="34"/>
      <c r="K31" s="34"/>
    </row>
    <row r="32" spans="3:24" x14ac:dyDescent="0.25">
      <c r="C32" s="2"/>
      <c r="D32" s="133"/>
      <c r="N32" s="1"/>
    </row>
    <row r="33" spans="3:14" ht="15.75" thickBot="1" x14ac:dyDescent="0.3">
      <c r="C33" s="2"/>
      <c r="M33" s="1"/>
      <c r="N33" s="1"/>
    </row>
    <row r="34" spans="3:14" ht="15.75" thickBot="1" x14ac:dyDescent="0.3">
      <c r="C34" s="16" t="s">
        <v>9</v>
      </c>
      <c r="D34" s="17" t="s">
        <v>10</v>
      </c>
      <c r="E34" s="17" t="s">
        <v>83</v>
      </c>
      <c r="F34" s="18"/>
      <c r="G34" s="17"/>
      <c r="H34" s="17" t="s">
        <v>35</v>
      </c>
      <c r="I34" s="19" t="s">
        <v>43</v>
      </c>
      <c r="J34" s="19" t="s">
        <v>84</v>
      </c>
      <c r="K34" s="19"/>
      <c r="L34" s="42"/>
      <c r="M34" s="1"/>
    </row>
    <row r="35" spans="3:14" ht="15.75" thickBot="1" x14ac:dyDescent="0.3">
      <c r="C35" s="20" t="s">
        <v>25</v>
      </c>
      <c r="D35" s="17" t="s">
        <v>45</v>
      </c>
      <c r="E35" s="21" t="s">
        <v>40</v>
      </c>
      <c r="F35" s="17"/>
      <c r="G35" s="17"/>
      <c r="H35" s="21" t="s">
        <v>37</v>
      </c>
      <c r="I35" s="17" t="s">
        <v>13</v>
      </c>
      <c r="J35" s="17" t="s">
        <v>82</v>
      </c>
      <c r="K35" s="17"/>
      <c r="L35" s="42"/>
    </row>
    <row r="36" spans="3:14" ht="60.75" thickBot="1" x14ac:dyDescent="0.3">
      <c r="C36" s="16" t="s">
        <v>11</v>
      </c>
      <c r="D36" s="138" t="s">
        <v>74</v>
      </c>
      <c r="E36" s="139" t="s">
        <v>42</v>
      </c>
      <c r="F36" s="22"/>
      <c r="G36" s="139"/>
      <c r="H36" s="139" t="s">
        <v>41</v>
      </c>
      <c r="I36" s="141" t="s">
        <v>71</v>
      </c>
      <c r="J36" s="140" t="s">
        <v>85</v>
      </c>
      <c r="K36" s="23"/>
    </row>
    <row r="37" spans="3:14" x14ac:dyDescent="0.25">
      <c r="C37" s="2" t="s">
        <v>57</v>
      </c>
      <c r="D37" t="s">
        <v>56</v>
      </c>
      <c r="E37" t="s">
        <v>56</v>
      </c>
      <c r="H37" t="s">
        <v>54</v>
      </c>
      <c r="I37" t="s">
        <v>54</v>
      </c>
      <c r="N37" s="1"/>
    </row>
    <row r="38" spans="3:14" x14ac:dyDescent="0.25">
      <c r="M38" s="1"/>
      <c r="N38" s="1"/>
    </row>
    <row r="39" spans="3:14" x14ac:dyDescent="0.25">
      <c r="M39" s="1"/>
    </row>
  </sheetData>
  <mergeCells count="2">
    <mergeCell ref="D2:K2"/>
    <mergeCell ref="R12:X12"/>
  </mergeCells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9"/>
  <sheetViews>
    <sheetView workbookViewId="0">
      <selection activeCell="J13" sqref="J13"/>
    </sheetView>
  </sheetViews>
  <sheetFormatPr defaultRowHeight="15" x14ac:dyDescent="0.25"/>
  <cols>
    <col min="2" max="2" width="27.7109375" bestFit="1" customWidth="1"/>
    <col min="3" max="3" width="19.42578125" customWidth="1"/>
    <col min="4" max="4" width="19.28515625" customWidth="1"/>
    <col min="5" max="5" width="18.85546875" customWidth="1"/>
    <col min="6" max="6" width="85.5703125" bestFit="1" customWidth="1"/>
    <col min="7" max="7" width="26.42578125" customWidth="1"/>
  </cols>
  <sheetData>
    <row r="1" spans="2:17" ht="15.75" thickBot="1" x14ac:dyDescent="0.3">
      <c r="G1" s="193" t="s">
        <v>100</v>
      </c>
    </row>
    <row r="2" spans="2:17" s="40" customFormat="1" ht="15.75" thickBot="1" x14ac:dyDescent="0.3">
      <c r="B2" s="153"/>
      <c r="C2" s="154" t="s">
        <v>92</v>
      </c>
      <c r="D2" s="155"/>
      <c r="E2" s="156"/>
      <c r="F2" s="157" t="s">
        <v>99</v>
      </c>
      <c r="G2" s="194" t="s">
        <v>101</v>
      </c>
    </row>
    <row r="3" spans="2:17" s="40" customFormat="1" ht="15.75" thickBot="1" x14ac:dyDescent="0.3">
      <c r="B3" s="158" t="s">
        <v>91</v>
      </c>
      <c r="C3" s="158" t="s">
        <v>97</v>
      </c>
      <c r="D3" s="159" t="s">
        <v>98</v>
      </c>
      <c r="E3" s="158" t="s">
        <v>96</v>
      </c>
      <c r="F3" s="160" t="s">
        <v>102</v>
      </c>
    </row>
    <row r="4" spans="2:17" s="40" customFormat="1" x14ac:dyDescent="0.25">
      <c r="B4" s="161"/>
      <c r="C4" s="162">
        <v>9000</v>
      </c>
      <c r="D4" s="162">
        <v>12000</v>
      </c>
      <c r="E4" s="163">
        <v>15000</v>
      </c>
      <c r="F4" s="157" t="s">
        <v>103</v>
      </c>
    </row>
    <row r="5" spans="2:17" s="40" customFormat="1" ht="15.75" thickBot="1" x14ac:dyDescent="0.3">
      <c r="B5" s="164" t="s">
        <v>104</v>
      </c>
      <c r="C5" s="165">
        <f>C4-(C4*0.2)</f>
        <v>7200</v>
      </c>
      <c r="D5" s="165">
        <f t="shared" ref="D5:E5" si="0">D4-(D4*0.2)</f>
        <v>9600</v>
      </c>
      <c r="E5" s="166">
        <f t="shared" si="0"/>
        <v>12000</v>
      </c>
      <c r="F5" s="157" t="s">
        <v>105</v>
      </c>
    </row>
    <row r="6" spans="2:17" s="40" customFormat="1" x14ac:dyDescent="0.25">
      <c r="B6" s="167"/>
      <c r="C6" s="168"/>
      <c r="D6" s="168"/>
      <c r="E6" s="168"/>
      <c r="F6" s="157" t="s">
        <v>106</v>
      </c>
    </row>
    <row r="7" spans="2:17" s="40" customFormat="1" x14ac:dyDescent="0.25">
      <c r="B7" s="169"/>
      <c r="C7" s="170"/>
      <c r="D7" s="170"/>
      <c r="E7" s="170"/>
      <c r="F7" s="157" t="s">
        <v>110</v>
      </c>
    </row>
    <row r="8" spans="2:17" s="40" customFormat="1" x14ac:dyDescent="0.25">
      <c r="B8" s="169"/>
      <c r="C8" s="170"/>
      <c r="D8" s="170"/>
      <c r="E8" s="170"/>
      <c r="F8" s="157" t="s">
        <v>107</v>
      </c>
    </row>
    <row r="9" spans="2:17" s="40" customFormat="1" ht="30" x14ac:dyDescent="0.25">
      <c r="B9" s="169"/>
      <c r="C9" s="170"/>
      <c r="D9" s="170"/>
      <c r="E9" s="170"/>
      <c r="F9" s="171" t="s">
        <v>108</v>
      </c>
      <c r="G9" s="150"/>
      <c r="H9" s="150"/>
      <c r="I9" s="150"/>
      <c r="J9" s="150"/>
      <c r="K9" s="150"/>
      <c r="L9" s="150"/>
      <c r="M9" s="150"/>
      <c r="N9" s="150"/>
      <c r="O9" s="150"/>
      <c r="P9" s="150"/>
      <c r="Q9" s="150"/>
    </row>
    <row r="10" spans="2:17" s="40" customFormat="1" x14ac:dyDescent="0.25">
      <c r="B10" s="169"/>
      <c r="C10" s="170"/>
      <c r="D10" s="170"/>
      <c r="E10" s="170"/>
      <c r="F10" s="172" t="s">
        <v>109</v>
      </c>
    </row>
    <row r="11" spans="2:17" s="40" customFormat="1" ht="15.75" thickBot="1" x14ac:dyDescent="0.3">
      <c r="B11" s="148"/>
      <c r="C11" s="147"/>
      <c r="D11" s="147"/>
      <c r="E11" s="147"/>
      <c r="F11" s="146"/>
    </row>
    <row r="12" spans="2:17" ht="15.75" thickBot="1" x14ac:dyDescent="0.3">
      <c r="B12" s="173"/>
      <c r="C12" s="174" t="s">
        <v>93</v>
      </c>
      <c r="D12" s="174"/>
      <c r="E12" s="175"/>
      <c r="F12" s="176" t="s">
        <v>99</v>
      </c>
    </row>
    <row r="13" spans="2:17" ht="15.75" thickBot="1" x14ac:dyDescent="0.3">
      <c r="B13" s="177" t="s">
        <v>71</v>
      </c>
      <c r="C13" s="177" t="s">
        <v>95</v>
      </c>
      <c r="D13" s="177" t="s">
        <v>97</v>
      </c>
      <c r="E13" s="177" t="s">
        <v>98</v>
      </c>
      <c r="F13" s="178" t="s">
        <v>102</v>
      </c>
    </row>
    <row r="14" spans="2:17" x14ac:dyDescent="0.25">
      <c r="B14" s="176"/>
      <c r="C14" s="179">
        <v>2000</v>
      </c>
      <c r="D14" s="179">
        <v>7000</v>
      </c>
      <c r="E14" s="179">
        <v>10000</v>
      </c>
      <c r="F14" s="176" t="s">
        <v>103</v>
      </c>
    </row>
    <row r="15" spans="2:17" ht="15.75" thickBot="1" x14ac:dyDescent="0.3">
      <c r="B15" s="180" t="s">
        <v>104</v>
      </c>
      <c r="C15" s="181">
        <v>2000</v>
      </c>
      <c r="D15" s="181">
        <f>D14-(D14*0.2)</f>
        <v>5600</v>
      </c>
      <c r="E15" s="181">
        <f>E14-(E14*0.2)</f>
        <v>8000</v>
      </c>
      <c r="F15" s="182" t="s">
        <v>111</v>
      </c>
    </row>
    <row r="16" spans="2:17" x14ac:dyDescent="0.25">
      <c r="B16" s="183"/>
      <c r="C16" s="181"/>
      <c r="D16" s="181"/>
      <c r="E16" s="181"/>
      <c r="F16" s="176" t="s">
        <v>107</v>
      </c>
    </row>
    <row r="17" spans="2:6" ht="30" x14ac:dyDescent="0.25">
      <c r="B17" s="176"/>
      <c r="C17" s="176" t="s">
        <v>113</v>
      </c>
      <c r="D17" s="176"/>
      <c r="E17" s="176"/>
      <c r="F17" s="184" t="s">
        <v>108</v>
      </c>
    </row>
    <row r="18" spans="2:6" s="40" customFormat="1" ht="15.75" thickBot="1" x14ac:dyDescent="0.3">
      <c r="F18" s="149"/>
    </row>
    <row r="19" spans="2:6" ht="15.75" thickBot="1" x14ac:dyDescent="0.3">
      <c r="B19" s="185" t="s">
        <v>94</v>
      </c>
      <c r="C19" s="186" t="s">
        <v>95</v>
      </c>
      <c r="D19" s="186" t="s">
        <v>97</v>
      </c>
      <c r="E19" s="186" t="s">
        <v>98</v>
      </c>
      <c r="F19" s="187" t="s">
        <v>99</v>
      </c>
    </row>
    <row r="20" spans="2:6" x14ac:dyDescent="0.25">
      <c r="B20" s="187"/>
      <c r="C20" s="188">
        <v>2000</v>
      </c>
      <c r="D20" s="188">
        <v>7000</v>
      </c>
      <c r="E20" s="188">
        <v>10000</v>
      </c>
      <c r="F20" s="187" t="s">
        <v>102</v>
      </c>
    </row>
    <row r="21" spans="2:6" ht="15.75" thickBot="1" x14ac:dyDescent="0.3">
      <c r="B21" s="189" t="s">
        <v>104</v>
      </c>
      <c r="C21" s="190">
        <v>2000</v>
      </c>
      <c r="D21" s="190">
        <f>D20-(D20*0.2)</f>
        <v>5600</v>
      </c>
      <c r="E21" s="190">
        <f>E20-(E20*0.2)</f>
        <v>8000</v>
      </c>
      <c r="F21" s="187" t="s">
        <v>103</v>
      </c>
    </row>
    <row r="22" spans="2:6" x14ac:dyDescent="0.25">
      <c r="C22" t="s">
        <v>113</v>
      </c>
      <c r="F22" s="187" t="s">
        <v>107</v>
      </c>
    </row>
    <row r="23" spans="2:6" x14ac:dyDescent="0.25">
      <c r="F23" s="187" t="s">
        <v>108</v>
      </c>
    </row>
    <row r="24" spans="2:6" ht="15.75" thickBot="1" x14ac:dyDescent="0.3"/>
    <row r="25" spans="2:6" ht="15.75" thickBot="1" x14ac:dyDescent="0.3">
      <c r="B25" s="145" t="s">
        <v>112</v>
      </c>
      <c r="C25" s="39" t="s">
        <v>95</v>
      </c>
      <c r="D25" s="39" t="s">
        <v>97</v>
      </c>
      <c r="E25" s="39" t="s">
        <v>98</v>
      </c>
      <c r="F25" s="151" t="s">
        <v>99</v>
      </c>
    </row>
    <row r="26" spans="2:6" x14ac:dyDescent="0.25">
      <c r="B26" s="151"/>
      <c r="C26" s="191">
        <v>2500</v>
      </c>
      <c r="D26" s="191">
        <v>8000</v>
      </c>
      <c r="E26" s="191">
        <v>11000</v>
      </c>
      <c r="F26" s="151" t="s">
        <v>102</v>
      </c>
    </row>
    <row r="27" spans="2:6" ht="15.75" thickBot="1" x14ac:dyDescent="0.3">
      <c r="B27" s="152" t="s">
        <v>104</v>
      </c>
      <c r="C27" s="192">
        <v>2500</v>
      </c>
      <c r="D27" s="192">
        <f>D26-(D26*0.2)</f>
        <v>6400</v>
      </c>
      <c r="E27" s="192">
        <f>E26-(E26*0.2)</f>
        <v>8800</v>
      </c>
      <c r="F27" s="151" t="s">
        <v>103</v>
      </c>
    </row>
    <row r="28" spans="2:6" x14ac:dyDescent="0.25">
      <c r="C28" t="s">
        <v>113</v>
      </c>
      <c r="F28" s="151" t="s">
        <v>107</v>
      </c>
    </row>
    <row r="29" spans="2:6" x14ac:dyDescent="0.25">
      <c r="F29" s="151" t="s">
        <v>108</v>
      </c>
    </row>
  </sheetData>
  <mergeCells count="2">
    <mergeCell ref="C2:E2"/>
    <mergeCell ref="C12:E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PROGRAM</vt:lpstr>
      <vt:lpstr>FİYATLANDIRMA</vt:lpstr>
      <vt:lpstr>Sayfa3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2026-08-10T00:42:33Z</dcterms:modified>
</cp:coreProperties>
</file>